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8" customWidth="1" min="4" max="4"/>
    <col width="28" customWidth="1" min="5" max="5"/>
    <col width="10" customWidth="1" min="6" max="6"/>
    <col width="16" customWidth="1" min="7" max="7"/>
    <col width="14" customWidth="1" min="8" max="8"/>
    <col width="12" customWidth="1" min="9" max="9"/>
    <col width="12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PO Number</t>
        </is>
      </c>
      <c r="B1" s="1" t="inlineStr">
        <is>
          <t>PO Date</t>
        </is>
      </c>
      <c r="C1" s="1" t="inlineStr">
        <is>
          <t>Vendor</t>
        </is>
      </c>
      <c r="D1" s="1" t="inlineStr">
        <is>
          <t>Department</t>
        </is>
      </c>
      <c r="E1" s="1" t="inlineStr">
        <is>
          <t>Item Description</t>
        </is>
      </c>
      <c r="F1" s="1" t="inlineStr">
        <is>
          <t>Quantity</t>
        </is>
      </c>
      <c r="G1" s="1" t="inlineStr">
        <is>
          <t>Unit Price (RM)</t>
        </is>
      </c>
      <c r="H1" s="1" t="inlineStr">
        <is>
          <t>Total (RM)</t>
        </is>
      </c>
      <c r="I1" s="1" t="inlineStr">
        <is>
          <t>Status</t>
        </is>
      </c>
      <c r="J1" s="1" t="inlineStr">
        <is>
          <t>Order Date</t>
        </is>
      </c>
      <c r="K1" s="1" t="inlineStr">
        <is>
          <t>Expected Delivery</t>
        </is>
      </c>
      <c r="L1" s="1" t="inlineStr">
        <is>
          <t>Actual Delivery</t>
        </is>
      </c>
      <c r="M1" s="1" t="inlineStr">
        <is>
          <t>Days Overdue</t>
        </is>
      </c>
    </row>
    <row r="2">
      <c r="A2" s="2" t="inlineStr">
        <is>
          <t>PO-2026-0001</t>
        </is>
      </c>
      <c r="B2" s="3" t="n">
        <v>46146</v>
      </c>
      <c r="C2" s="2" t="inlineStr">
        <is>
          <t>TechSupply Sdn Bhd</t>
        </is>
      </c>
      <c r="D2" s="2" t="inlineStr">
        <is>
          <t>Marketing</t>
        </is>
      </c>
      <c r="E2" s="2" t="inlineStr">
        <is>
          <t>Server Rack 42U</t>
        </is>
      </c>
      <c r="F2" s="2" t="n">
        <v>4</v>
      </c>
      <c r="G2" s="4" t="n">
        <v>1200</v>
      </c>
      <c r="H2" s="4">
        <f>F2*G2</f>
        <v/>
      </c>
      <c r="I2" s="2" t="inlineStr">
        <is>
          <t>Cancelled</t>
        </is>
      </c>
      <c r="J2" s="3" t="n">
        <v>46146</v>
      </c>
      <c r="K2" s="3" t="n">
        <v>46154</v>
      </c>
      <c r="L2" s="3" t="n"/>
      <c r="M2" s="5" t="inlineStr">
        <is>
          <t>0</t>
        </is>
      </c>
    </row>
    <row r="3">
      <c r="A3" s="2" t="inlineStr">
        <is>
          <t>PO-2026-0002</t>
        </is>
      </c>
      <c r="B3" s="3" t="n">
        <v>46160</v>
      </c>
      <c r="C3" s="2" t="inlineStr">
        <is>
          <t>TechSupply Sdn Bhd</t>
        </is>
      </c>
      <c r="D3" s="2" t="inlineStr">
        <is>
          <t>HR</t>
        </is>
      </c>
      <c r="E3" s="2" t="inlineStr">
        <is>
          <t>Keyboard Mouse Set</t>
        </is>
      </c>
      <c r="F3" s="2" t="n">
        <v>1</v>
      </c>
      <c r="G3" s="4" t="n">
        <v>850</v>
      </c>
      <c r="H3" s="4">
        <f>F3*G3</f>
        <v/>
      </c>
      <c r="I3" s="2" t="inlineStr">
        <is>
          <t>Open</t>
        </is>
      </c>
      <c r="J3" s="3" t="n">
        <v>46160</v>
      </c>
      <c r="K3" s="3" t="n">
        <v>46170</v>
      </c>
      <c r="L3" s="3" t="n"/>
      <c r="M3" s="5">
        <f>IF(K3&lt;TODAY(),TODAY()-K3,0)</f>
        <v/>
      </c>
    </row>
    <row r="4">
      <c r="A4" s="2" t="inlineStr">
        <is>
          <t>PO-2026-0003</t>
        </is>
      </c>
      <c r="B4" s="3" t="n">
        <v>46150</v>
      </c>
      <c r="C4" s="2" t="inlineStr">
        <is>
          <t>Local Hardware Store</t>
        </is>
      </c>
      <c r="D4" s="2" t="inlineStr">
        <is>
          <t>HR</t>
        </is>
      </c>
      <c r="E4" s="2" t="inlineStr">
        <is>
          <t>Laptop Dell Latitude 5540</t>
        </is>
      </c>
      <c r="F4" s="2" t="n">
        <v>9</v>
      </c>
      <c r="G4" s="4" t="n">
        <v>1200</v>
      </c>
      <c r="H4" s="4">
        <f>F4*G4</f>
        <v/>
      </c>
      <c r="I4" s="2" t="inlineStr">
        <is>
          <t>Cancelled</t>
        </is>
      </c>
      <c r="J4" s="3" t="n">
        <v>46150</v>
      </c>
      <c r="K4" s="3" t="n">
        <v>46167</v>
      </c>
      <c r="L4" s="3" t="n"/>
      <c r="M4" s="5" t="inlineStr">
        <is>
          <t>0</t>
        </is>
      </c>
    </row>
    <row r="5">
      <c r="A5" s="2" t="inlineStr">
        <is>
          <t>PO-2026-0004</t>
        </is>
      </c>
      <c r="B5" s="3" t="n">
        <v>46160</v>
      </c>
      <c r="C5" s="2" t="inlineStr">
        <is>
          <t>Global Equipment Ltd</t>
        </is>
      </c>
      <c r="D5" s="2" t="inlineStr">
        <is>
          <t>Operations</t>
        </is>
      </c>
      <c r="E5" s="2" t="inlineStr">
        <is>
          <t>Ethernet Cable Cat6A</t>
        </is>
      </c>
      <c r="F5" s="2" t="n">
        <v>10</v>
      </c>
      <c r="G5" s="4" t="n">
        <v>2500</v>
      </c>
      <c r="H5" s="4">
        <f>F5*G5</f>
        <v/>
      </c>
      <c r="I5" s="2" t="inlineStr">
        <is>
          <t>Open</t>
        </is>
      </c>
      <c r="J5" s="3" t="n">
        <v>46160</v>
      </c>
      <c r="K5" s="3" t="n">
        <v>46179</v>
      </c>
      <c r="L5" s="3" t="n"/>
      <c r="M5" s="5">
        <f>IF(K5&lt;TODAY(),TODAY()-K5,0)</f>
        <v/>
      </c>
    </row>
    <row r="6">
      <c r="A6" s="2" t="inlineStr">
        <is>
          <t>PO-2026-0005</t>
        </is>
      </c>
      <c r="B6" s="3" t="n">
        <v>46148</v>
      </c>
      <c r="C6" s="2" t="inlineStr">
        <is>
          <t>Global Equipment Ltd</t>
        </is>
      </c>
      <c r="D6" s="2" t="inlineStr">
        <is>
          <t>Marketing</t>
        </is>
      </c>
      <c r="E6" s="2" t="inlineStr">
        <is>
          <t>UPS APC 3000VA</t>
        </is>
      </c>
      <c r="F6" s="2" t="n">
        <v>3</v>
      </c>
      <c r="G6" s="4" t="n">
        <v>1200</v>
      </c>
      <c r="H6" s="4">
        <f>F6*G6</f>
        <v/>
      </c>
      <c r="I6" s="2" t="inlineStr">
        <is>
          <t>Delivered</t>
        </is>
      </c>
      <c r="J6" s="3" t="n">
        <v>46148</v>
      </c>
      <c r="K6" s="3" t="n">
        <v>46156</v>
      </c>
      <c r="L6" s="3" t="n">
        <v>46154</v>
      </c>
      <c r="M6" s="5" t="inlineStr">
        <is>
          <t>0</t>
        </is>
      </c>
    </row>
    <row r="7">
      <c r="A7" s="2" t="inlineStr">
        <is>
          <t>PO-2026-0006</t>
        </is>
      </c>
      <c r="B7" s="3" t="n">
        <v>46155</v>
      </c>
      <c r="C7" s="2" t="inlineStr">
        <is>
          <t>TechSupply Sdn Bhd</t>
        </is>
      </c>
      <c r="D7" s="2" t="inlineStr">
        <is>
          <t>Marketing</t>
        </is>
      </c>
      <c r="E7" s="2" t="inlineStr">
        <is>
          <t>Monitor Dell 27"</t>
        </is>
      </c>
      <c r="F7" s="2" t="n">
        <v>10</v>
      </c>
      <c r="G7" s="4" t="n">
        <v>2500</v>
      </c>
      <c r="H7" s="4">
        <f>F7*G7</f>
        <v/>
      </c>
      <c r="I7" s="2" t="inlineStr">
        <is>
          <t>Open</t>
        </is>
      </c>
      <c r="J7" s="3" t="n">
        <v>46155</v>
      </c>
      <c r="K7" s="3" t="n">
        <v>46173</v>
      </c>
      <c r="L7" s="3" t="n"/>
      <c r="M7" s="5">
        <f>IF(K7&lt;TODAY(),TODAY()-K7,0)</f>
        <v/>
      </c>
    </row>
    <row r="8">
      <c r="A8" s="2" t="inlineStr">
        <is>
          <t>PO-2026-0007</t>
        </is>
      </c>
      <c r="B8" s="3" t="n">
        <v>46157</v>
      </c>
      <c r="C8" s="2" t="inlineStr">
        <is>
          <t>Local Hardware Store</t>
        </is>
      </c>
      <c r="D8" s="2" t="inlineStr">
        <is>
          <t>IT Infrastructure</t>
        </is>
      </c>
      <c r="E8" s="2" t="inlineStr">
        <is>
          <t>Keyboard Mouse Set</t>
        </is>
      </c>
      <c r="F8" s="2" t="n">
        <v>2</v>
      </c>
      <c r="G8" s="4" t="n">
        <v>8500</v>
      </c>
      <c r="H8" s="4">
        <f>F8*G8</f>
        <v/>
      </c>
      <c r="I8" s="2" t="inlineStr">
        <is>
          <t>Delivered</t>
        </is>
      </c>
      <c r="J8" s="3" t="n">
        <v>46157</v>
      </c>
      <c r="K8" s="3" t="n">
        <v>46177</v>
      </c>
      <c r="L8" s="3" t="n">
        <v>46180</v>
      </c>
      <c r="M8" s="5" t="inlineStr">
        <is>
          <t>0</t>
        </is>
      </c>
    </row>
    <row r="9">
      <c r="A9" s="2" t="inlineStr">
        <is>
          <t>PO-2026-0008</t>
        </is>
      </c>
      <c r="B9" s="3" t="n">
        <v>46154</v>
      </c>
      <c r="C9" s="2" t="inlineStr">
        <is>
          <t>Local Hardware Store</t>
        </is>
      </c>
      <c r="D9" s="2" t="inlineStr">
        <is>
          <t>Operations</t>
        </is>
      </c>
      <c r="E9" s="2" t="inlineStr">
        <is>
          <t>Printer HP LaserJet Pro</t>
        </is>
      </c>
      <c r="F9" s="2" t="n">
        <v>1</v>
      </c>
      <c r="G9" s="4" t="n">
        <v>12500</v>
      </c>
      <c r="H9" s="4">
        <f>F9*G9</f>
        <v/>
      </c>
      <c r="I9" s="2" t="inlineStr">
        <is>
          <t>In Transit</t>
        </is>
      </c>
      <c r="J9" s="3" t="n">
        <v>46154</v>
      </c>
      <c r="K9" s="3" t="n">
        <v>46173</v>
      </c>
      <c r="L9" s="3" t="n"/>
      <c r="M9" s="5">
        <f>IF(K9&lt;TODAY(),TODAY()-K9,0)</f>
        <v/>
      </c>
    </row>
    <row r="10">
      <c r="A10" s="2" t="inlineStr">
        <is>
          <t>PO-2026-0009</t>
        </is>
      </c>
      <c r="B10" s="3" t="n">
        <v>46152</v>
      </c>
      <c r="C10" s="2" t="inlineStr">
        <is>
          <t>TechSupply Sdn Bhd</t>
        </is>
      </c>
      <c r="D10" s="2" t="inlineStr">
        <is>
          <t>Operations</t>
        </is>
      </c>
      <c r="E10" s="2" t="inlineStr">
        <is>
          <t>Printer HP LaserJet Pro</t>
        </is>
      </c>
      <c r="F10" s="2" t="n">
        <v>7</v>
      </c>
      <c r="G10" s="4" t="n">
        <v>2500</v>
      </c>
      <c r="H10" s="4">
        <f>F10*G10</f>
        <v/>
      </c>
      <c r="I10" s="2" t="inlineStr">
        <is>
          <t>Delivered</t>
        </is>
      </c>
      <c r="J10" s="3" t="n">
        <v>46152</v>
      </c>
      <c r="K10" s="3" t="n">
        <v>46169</v>
      </c>
      <c r="L10" s="3" t="n">
        <v>46169</v>
      </c>
      <c r="M10" s="5" t="inlineStr">
        <is>
          <t>0</t>
        </is>
      </c>
    </row>
    <row r="11">
      <c r="A11" s="2" t="inlineStr">
        <is>
          <t>PO-2026-0010</t>
        </is>
      </c>
      <c r="B11" s="3" t="n">
        <v>46148</v>
      </c>
      <c r="C11" s="2" t="inlineStr">
        <is>
          <t>Industrial Parts Co</t>
        </is>
      </c>
      <c r="D11" s="2" t="inlineStr">
        <is>
          <t>Marketing</t>
        </is>
      </c>
      <c r="E11" s="2" t="inlineStr">
        <is>
          <t>Server Rack 42U</t>
        </is>
      </c>
      <c r="F11" s="2" t="n">
        <v>5</v>
      </c>
      <c r="G11" s="4" t="n">
        <v>12500</v>
      </c>
      <c r="H11" s="4">
        <f>F11*G11</f>
        <v/>
      </c>
      <c r="I11" s="2" t="inlineStr">
        <is>
          <t>Cancelled</t>
        </is>
      </c>
      <c r="J11" s="3" t="n">
        <v>46148</v>
      </c>
      <c r="K11" s="3" t="n">
        <v>46165</v>
      </c>
      <c r="L11" s="3" t="n"/>
      <c r="M11" s="5" t="inlineStr">
        <is>
          <t>0</t>
        </is>
      </c>
    </row>
    <row r="12">
      <c r="A12" s="2" t="inlineStr">
        <is>
          <t>PO-2026-0011</t>
        </is>
      </c>
      <c r="B12" s="3" t="n">
        <v>46145</v>
      </c>
      <c r="C12" s="2" t="inlineStr">
        <is>
          <t>Local Hardware Store</t>
        </is>
      </c>
      <c r="D12" s="2" t="inlineStr">
        <is>
          <t>Operations</t>
        </is>
      </c>
      <c r="E12" s="2" t="inlineStr">
        <is>
          <t>Software License MS365</t>
        </is>
      </c>
      <c r="F12" s="2" t="n">
        <v>4</v>
      </c>
      <c r="G12" s="4" t="n">
        <v>1200</v>
      </c>
      <c r="H12" s="4">
        <f>F12*G12</f>
        <v/>
      </c>
      <c r="I12" s="2" t="inlineStr">
        <is>
          <t>Delivered</t>
        </is>
      </c>
      <c r="J12" s="3" t="n">
        <v>46145</v>
      </c>
      <c r="K12" s="3" t="n">
        <v>46158</v>
      </c>
      <c r="L12" s="3" t="n">
        <v>46158</v>
      </c>
      <c r="M12" s="5" t="inlineStr">
        <is>
          <t>0</t>
        </is>
      </c>
    </row>
    <row r="13">
      <c r="A13" s="2" t="inlineStr">
        <is>
          <t>PO-2026-0012</t>
        </is>
      </c>
      <c r="B13" s="3" t="n">
        <v>46160</v>
      </c>
      <c r="C13" s="2" t="inlineStr">
        <is>
          <t>Office Pro Malaysia</t>
        </is>
      </c>
      <c r="D13" s="2" t="inlineStr">
        <is>
          <t>Marketing</t>
        </is>
      </c>
      <c r="E13" s="2" t="inlineStr">
        <is>
          <t>Laptop Dell Latitude 5540</t>
        </is>
      </c>
      <c r="F13" s="2" t="n">
        <v>4</v>
      </c>
      <c r="G13" s="4" t="n">
        <v>45000</v>
      </c>
      <c r="H13" s="4">
        <f>F13*G13</f>
        <v/>
      </c>
      <c r="I13" s="2" t="inlineStr">
        <is>
          <t>Open</t>
        </is>
      </c>
      <c r="J13" s="3" t="n">
        <v>46160</v>
      </c>
      <c r="K13" s="3" t="n">
        <v>46179</v>
      </c>
      <c r="L13" s="3" t="n"/>
      <c r="M13" s="5">
        <f>IF(K13&lt;TODAY(),TODAY()-K13,0)</f>
        <v/>
      </c>
    </row>
    <row r="14">
      <c r="A14" s="2" t="inlineStr">
        <is>
          <t>PO-2026-0013</t>
        </is>
      </c>
      <c r="B14" s="3" t="n">
        <v>46153</v>
      </c>
      <c r="C14" s="2" t="inlineStr">
        <is>
          <t>Global Equipment Ltd</t>
        </is>
      </c>
      <c r="D14" s="2" t="inlineStr">
        <is>
          <t>Marketing</t>
        </is>
      </c>
      <c r="E14" s="2" t="inlineStr">
        <is>
          <t>Printer HP LaserJet Pro</t>
        </is>
      </c>
      <c r="F14" s="2" t="n">
        <v>4</v>
      </c>
      <c r="G14" s="4" t="n">
        <v>8500</v>
      </c>
      <c r="H14" s="4">
        <f>F14*G14</f>
        <v/>
      </c>
      <c r="I14" s="2" t="inlineStr">
        <is>
          <t>Cancelled</t>
        </is>
      </c>
      <c r="J14" s="3" t="n">
        <v>46153</v>
      </c>
      <c r="K14" s="3" t="n">
        <v>46165</v>
      </c>
      <c r="L14" s="3" t="n"/>
      <c r="M14" s="5" t="inlineStr">
        <is>
          <t>0</t>
        </is>
      </c>
    </row>
    <row r="15">
      <c r="A15" s="2" t="inlineStr">
        <is>
          <t>PO-2026-0014</t>
        </is>
      </c>
      <c r="B15" s="3" t="n">
        <v>46149</v>
      </c>
      <c r="C15" s="2" t="inlineStr">
        <is>
          <t>Global Equipment Ltd</t>
        </is>
      </c>
      <c r="D15" s="2" t="inlineStr">
        <is>
          <t>Finance</t>
        </is>
      </c>
      <c r="E15" s="2" t="inlineStr">
        <is>
          <t>Ethernet Cable Cat6A</t>
        </is>
      </c>
      <c r="F15" s="2" t="n">
        <v>3</v>
      </c>
      <c r="G15" s="4" t="n">
        <v>2500</v>
      </c>
      <c r="H15" s="4">
        <f>F15*G15</f>
        <v/>
      </c>
      <c r="I15" s="2" t="inlineStr">
        <is>
          <t>In Transit</t>
        </is>
      </c>
      <c r="J15" s="3" t="n">
        <v>46149</v>
      </c>
      <c r="K15" s="3" t="n">
        <v>46159</v>
      </c>
      <c r="L15" s="3" t="n"/>
      <c r="M15" s="5">
        <f>IF(K15&lt;TODAY(),TODAY()-K15,0)</f>
        <v/>
      </c>
    </row>
    <row r="16">
      <c r="A16" s="2" t="inlineStr">
        <is>
          <t>PO-2026-0015</t>
        </is>
      </c>
      <c r="B16" s="3" t="n">
        <v>46160</v>
      </c>
      <c r="C16" s="2" t="inlineStr">
        <is>
          <t>Local Hardware Store</t>
        </is>
      </c>
      <c r="D16" s="2" t="inlineStr">
        <is>
          <t>Marketing</t>
        </is>
      </c>
      <c r="E16" s="2" t="inlineStr">
        <is>
          <t>Desk Ergonomic Standing</t>
        </is>
      </c>
      <c r="F16" s="2" t="n">
        <v>7</v>
      </c>
      <c r="G16" s="4" t="n">
        <v>8500</v>
      </c>
      <c r="H16" s="4">
        <f>F16*G16</f>
        <v/>
      </c>
      <c r="I16" s="2" t="inlineStr">
        <is>
          <t>Delivered</t>
        </is>
      </c>
      <c r="J16" s="3" t="n">
        <v>46160</v>
      </c>
      <c r="K16" s="3" t="n">
        <v>46172</v>
      </c>
      <c r="L16" s="3" t="n">
        <v>46171</v>
      </c>
      <c r="M16" s="5" t="inlineStr">
        <is>
          <t>0</t>
        </is>
      </c>
    </row>
    <row r="17">
      <c r="A17" s="2" t="inlineStr">
        <is>
          <t>PO-2026-0016</t>
        </is>
      </c>
      <c r="B17" s="3" t="n">
        <v>46147</v>
      </c>
      <c r="C17" s="2" t="inlineStr">
        <is>
          <t>Local Hardware Store</t>
        </is>
      </c>
      <c r="D17" s="2" t="inlineStr">
        <is>
          <t>Finance</t>
        </is>
      </c>
      <c r="E17" s="2" t="inlineStr">
        <is>
          <t>Printer HP LaserJet Pro</t>
        </is>
      </c>
      <c r="F17" s="2" t="n">
        <v>1</v>
      </c>
      <c r="G17" s="4" t="n">
        <v>45000</v>
      </c>
      <c r="H17" s="4">
        <f>F17*G17</f>
        <v/>
      </c>
      <c r="I17" s="2" t="inlineStr">
        <is>
          <t>Open</t>
        </is>
      </c>
      <c r="J17" s="3" t="n">
        <v>46147</v>
      </c>
      <c r="K17" s="3" t="n">
        <v>46156</v>
      </c>
      <c r="L17" s="3" t="n"/>
      <c r="M17" s="5">
        <f>IF(K17&lt;TODAY(),TODAY()-K17,0)</f>
        <v/>
      </c>
    </row>
    <row r="18">
      <c r="A18" s="2" t="inlineStr">
        <is>
          <t>PO-2026-0017</t>
        </is>
      </c>
      <c r="B18" s="3" t="n">
        <v>46148</v>
      </c>
      <c r="C18" s="2" t="inlineStr">
        <is>
          <t>Global Equipment Ltd</t>
        </is>
      </c>
      <c r="D18" s="2" t="inlineStr">
        <is>
          <t>HR</t>
        </is>
      </c>
      <c r="E18" s="2" t="inlineStr">
        <is>
          <t>Printer HP LaserJet Pro</t>
        </is>
      </c>
      <c r="F18" s="2" t="n">
        <v>7</v>
      </c>
      <c r="G18" s="4" t="n">
        <v>4200</v>
      </c>
      <c r="H18" s="4">
        <f>F18*G18</f>
        <v/>
      </c>
      <c r="I18" s="2" t="inlineStr">
        <is>
          <t>Delivered</t>
        </is>
      </c>
      <c r="J18" s="3" t="n">
        <v>46148</v>
      </c>
      <c r="K18" s="3" t="n">
        <v>46162</v>
      </c>
      <c r="L18" s="3" t="n">
        <v>46164</v>
      </c>
      <c r="M18" s="5" t="inlineStr">
        <is>
          <t>0</t>
        </is>
      </c>
    </row>
    <row r="19">
      <c r="A19" s="2" t="inlineStr">
        <is>
          <t>PO-2026-0018</t>
        </is>
      </c>
      <c r="B19" s="3" t="n">
        <v>46151</v>
      </c>
      <c r="C19" s="2" t="inlineStr">
        <is>
          <t>Local Hardware Store</t>
        </is>
      </c>
      <c r="D19" s="2" t="inlineStr">
        <is>
          <t>IT Infrastructure</t>
        </is>
      </c>
      <c r="E19" s="2" t="inlineStr">
        <is>
          <t>Printer HP LaserJet Pro</t>
        </is>
      </c>
      <c r="F19" s="2" t="n">
        <v>9</v>
      </c>
      <c r="G19" s="4" t="n">
        <v>45000</v>
      </c>
      <c r="H19" s="4">
        <f>F19*G19</f>
        <v/>
      </c>
      <c r="I19" s="2" t="inlineStr">
        <is>
          <t>Delivered</t>
        </is>
      </c>
      <c r="J19" s="3" t="n">
        <v>46151</v>
      </c>
      <c r="K19" s="3" t="n">
        <v>46170</v>
      </c>
      <c r="L19" s="3" t="n">
        <v>46173</v>
      </c>
      <c r="M19" s="5" t="inlineStr">
        <is>
          <t>0</t>
        </is>
      </c>
    </row>
    <row r="20">
      <c r="A20" s="2" t="inlineStr">
        <is>
          <t>PO-2026-0019</t>
        </is>
      </c>
      <c r="B20" s="3" t="n">
        <v>46153</v>
      </c>
      <c r="C20" s="2" t="inlineStr">
        <is>
          <t>TechSupply Sdn Bhd</t>
        </is>
      </c>
      <c r="D20" s="2" t="inlineStr">
        <is>
          <t>Marketing</t>
        </is>
      </c>
      <c r="E20" s="2" t="inlineStr">
        <is>
          <t>Keyboard Mouse Set</t>
        </is>
      </c>
      <c r="F20" s="2" t="n">
        <v>3</v>
      </c>
      <c r="G20" s="4" t="n">
        <v>4200</v>
      </c>
      <c r="H20" s="4">
        <f>F20*G20</f>
        <v/>
      </c>
      <c r="I20" s="2" t="inlineStr">
        <is>
          <t>Open</t>
        </is>
      </c>
      <c r="J20" s="3" t="n">
        <v>46153</v>
      </c>
      <c r="K20" s="3" t="n">
        <v>46171</v>
      </c>
      <c r="L20" s="3" t="n"/>
      <c r="M20" s="5">
        <f>IF(K20&lt;TODAY(),TODAY()-K20,0)</f>
        <v/>
      </c>
    </row>
    <row r="21">
      <c r="A21" s="2" t="inlineStr">
        <is>
          <t>PO-2026-0020</t>
        </is>
      </c>
      <c r="B21" s="3" t="n">
        <v>46151</v>
      </c>
      <c r="C21" s="2" t="inlineStr">
        <is>
          <t>Local Hardware Store</t>
        </is>
      </c>
      <c r="D21" s="2" t="inlineStr">
        <is>
          <t>Operations</t>
        </is>
      </c>
      <c r="E21" s="2" t="inlineStr">
        <is>
          <t>Software License MS365</t>
        </is>
      </c>
      <c r="F21" s="2" t="n">
        <v>2</v>
      </c>
      <c r="G21" s="4" t="n">
        <v>45000</v>
      </c>
      <c r="H21" s="4">
        <f>F21*G21</f>
        <v/>
      </c>
      <c r="I21" s="2" t="inlineStr">
        <is>
          <t>Cancelled</t>
        </is>
      </c>
      <c r="J21" s="3" t="n">
        <v>46151</v>
      </c>
      <c r="K21" s="3" t="n">
        <v>46162</v>
      </c>
      <c r="L21" s="3" t="n"/>
      <c r="M21" s="5" t="inlineStr">
        <is>
          <t>0</t>
        </is>
      </c>
    </row>
  </sheetData>
  <conditionalFormatting sqref="M2:M21">
    <cfRule type="cellIs" priority="1" operator="greater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2026-05-18T03:13:28Z</dcterms:created>
  <dcterms:modified xmlns:dcterms="http://purl.org/dc/terms/" xmlns:xsi="http://www.w3.org/2001/XMLSchema-instance" xsi:type="dcterms:W3CDTF">2026-05-18T03:13:28Z</dcterms:modified>
</cp:coreProperties>
</file>