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28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Vendor</t>
        </is>
      </c>
      <c r="D1" s="1" t="inlineStr">
        <is>
          <t>PO Reference</t>
        </is>
      </c>
      <c r="E1" s="1" t="inlineStr">
        <is>
          <t>Description</t>
        </is>
      </c>
      <c r="F1" s="1" t="inlineStr">
        <is>
          <t>Subtotal (RM)</t>
        </is>
      </c>
      <c r="G1" s="1" t="inlineStr">
        <is>
          <t>Tax (6%)</t>
        </is>
      </c>
      <c r="H1" s="1" t="inlineStr">
        <is>
          <t>Total (RM)</t>
        </is>
      </c>
      <c r="I1" s="1" t="inlineStr">
        <is>
          <t>Payment Terms</t>
        </is>
      </c>
      <c r="J1" s="1" t="inlineStr">
        <is>
          <t>Due Date</t>
        </is>
      </c>
      <c r="K1" s="1" t="inlineStr">
        <is>
          <t>Status</t>
        </is>
      </c>
      <c r="L1" s="1" t="inlineStr">
        <is>
          <t>PO Amount (RM)</t>
        </is>
      </c>
      <c r="M1" s="1" t="inlineStr">
        <is>
          <t>Variance (RM)</t>
        </is>
      </c>
    </row>
    <row r="2">
      <c r="A2" s="2" t="inlineStr">
        <is>
          <t>INV-2026-0001</t>
        </is>
      </c>
      <c r="B2" s="3" t="n">
        <v>46158</v>
      </c>
      <c r="C2" s="2" t="inlineStr">
        <is>
          <t>TechSupply Sdn Bhd</t>
        </is>
      </c>
      <c r="D2" s="2" t="inlineStr">
        <is>
          <t>PO-2026-0016</t>
        </is>
      </c>
      <c r="E2" s="2" t="inlineStr">
        <is>
          <t>Network Switch Cisco</t>
        </is>
      </c>
      <c r="F2" s="2" t="n">
        <v>30616</v>
      </c>
      <c r="G2" s="4">
        <f>F2*0.06</f>
        <v/>
      </c>
      <c r="H2" s="4">
        <f>F2+G2</f>
        <v/>
      </c>
      <c r="I2" s="2" t="inlineStr">
        <is>
          <t>Net 60</t>
        </is>
      </c>
      <c r="J2" s="3" t="n">
        <v>46218</v>
      </c>
      <c r="K2" s="2" t="inlineStr">
        <is>
          <t>Paid</t>
        </is>
      </c>
      <c r="L2" s="2" t="n">
        <v>29878</v>
      </c>
      <c r="M2" s="4">
        <f>H2-L2</f>
        <v/>
      </c>
    </row>
    <row r="3">
      <c r="A3" s="2" t="inlineStr">
        <is>
          <t>INV-2026-0002</t>
        </is>
      </c>
      <c r="B3" s="3" t="n">
        <v>46159</v>
      </c>
      <c r="C3" s="2" t="inlineStr">
        <is>
          <t>Global Equipment Ltd</t>
        </is>
      </c>
      <c r="D3" s="2" t="inlineStr">
        <is>
          <t>PO-2026-0020</t>
        </is>
      </c>
      <c r="E3" s="2" t="inlineStr">
        <is>
          <t>Monitor Dell 27"</t>
        </is>
      </c>
      <c r="F3" s="2" t="n">
        <v>24949</v>
      </c>
      <c r="G3" s="4">
        <f>F3*0.06</f>
        <v/>
      </c>
      <c r="H3" s="4">
        <f>F3+G3</f>
        <v/>
      </c>
      <c r="I3" s="2" t="inlineStr">
        <is>
          <t>Net 60</t>
        </is>
      </c>
      <c r="J3" s="3" t="n">
        <v>46219</v>
      </c>
      <c r="K3" s="2" t="inlineStr">
        <is>
          <t>Approved</t>
        </is>
      </c>
      <c r="L3" s="2" t="n">
        <v>24206</v>
      </c>
      <c r="M3" s="4">
        <f>H3-L3</f>
        <v/>
      </c>
    </row>
    <row r="4">
      <c r="A4" s="2" t="inlineStr">
        <is>
          <t>INV-2026-0003</t>
        </is>
      </c>
      <c r="B4" s="3" t="n">
        <v>46154</v>
      </c>
      <c r="C4" s="2" t="inlineStr">
        <is>
          <t>Global Equipment Ltd</t>
        </is>
      </c>
      <c r="D4" s="2" t="inlineStr">
        <is>
          <t>PO-2026-0009</t>
        </is>
      </c>
      <c r="E4" s="2" t="inlineStr">
        <is>
          <t>Software License MS365</t>
        </is>
      </c>
      <c r="F4" s="2" t="n">
        <v>19348</v>
      </c>
      <c r="G4" s="4">
        <f>F4*0.06</f>
        <v/>
      </c>
      <c r="H4" s="4">
        <f>F4+G4</f>
        <v/>
      </c>
      <c r="I4" s="2" t="inlineStr">
        <is>
          <t>COD</t>
        </is>
      </c>
      <c r="J4" s="3" t="n">
        <v>46154</v>
      </c>
      <c r="K4" s="2" t="inlineStr">
        <is>
          <t>Approved</t>
        </is>
      </c>
      <c r="L4" s="2" t="n">
        <v>19904</v>
      </c>
      <c r="M4" s="4">
        <f>H4-L4</f>
        <v/>
      </c>
    </row>
    <row r="5">
      <c r="A5" s="2" t="inlineStr">
        <is>
          <t>INV-2026-0004</t>
        </is>
      </c>
      <c r="B5" s="3" t="n">
        <v>46149</v>
      </c>
      <c r="C5" s="2" t="inlineStr">
        <is>
          <t>CleanTech Solutions</t>
        </is>
      </c>
      <c r="D5" s="2" t="inlineStr">
        <is>
          <t>PO-2026-0017</t>
        </is>
      </c>
      <c r="E5" s="2" t="inlineStr">
        <is>
          <t>Network Switch Cisco</t>
        </is>
      </c>
      <c r="F5" s="2" t="n">
        <v>48546</v>
      </c>
      <c r="G5" s="4">
        <f>F5*0.06</f>
        <v/>
      </c>
      <c r="H5" s="4">
        <f>F5+G5</f>
        <v/>
      </c>
      <c r="I5" s="2" t="inlineStr">
        <is>
          <t>COD</t>
        </is>
      </c>
      <c r="J5" s="3" t="n">
        <v>46149</v>
      </c>
      <c r="K5" s="2" t="inlineStr">
        <is>
          <t>Pending</t>
        </is>
      </c>
      <c r="L5" s="2" t="n">
        <v>49993</v>
      </c>
      <c r="M5" s="4">
        <f>H5-L5</f>
        <v/>
      </c>
    </row>
    <row r="6">
      <c r="A6" s="2" t="inlineStr">
        <is>
          <t>INV-2026-0005</t>
        </is>
      </c>
      <c r="B6" s="3" t="n">
        <v>46159</v>
      </c>
      <c r="C6" s="2" t="inlineStr">
        <is>
          <t>PrintMaster Asia</t>
        </is>
      </c>
      <c r="D6" s="2" t="inlineStr">
        <is>
          <t>PO-2026-0003</t>
        </is>
      </c>
      <c r="E6" s="2" t="inlineStr">
        <is>
          <t>Server Rack 42U</t>
        </is>
      </c>
      <c r="F6" s="2" t="n">
        <v>33780</v>
      </c>
      <c r="G6" s="4">
        <f>F6*0.06</f>
        <v/>
      </c>
      <c r="H6" s="4">
        <f>F6+G6</f>
        <v/>
      </c>
      <c r="I6" s="2" t="inlineStr">
        <is>
          <t>COD</t>
        </is>
      </c>
      <c r="J6" s="3" t="n">
        <v>46159</v>
      </c>
      <c r="K6" s="2" t="inlineStr">
        <is>
          <t>Pending</t>
        </is>
      </c>
      <c r="L6" s="2" t="n">
        <v>35517</v>
      </c>
      <c r="M6" s="4">
        <f>H6-L6</f>
        <v/>
      </c>
    </row>
    <row r="7">
      <c r="A7" s="2" t="inlineStr">
        <is>
          <t>INV-2026-0006</t>
        </is>
      </c>
      <c r="B7" s="3" t="n">
        <v>46150</v>
      </c>
      <c r="C7" s="2" t="inlineStr">
        <is>
          <t>Global Equipment Ltd</t>
        </is>
      </c>
      <c r="D7" s="2" t="inlineStr">
        <is>
          <t>PO-2026-0004</t>
        </is>
      </c>
      <c r="E7" s="2" t="inlineStr">
        <is>
          <t>Monitor Dell 27"</t>
        </is>
      </c>
      <c r="F7" s="2" t="n">
        <v>44736</v>
      </c>
      <c r="G7" s="4">
        <f>F7*0.06</f>
        <v/>
      </c>
      <c r="H7" s="4">
        <f>F7+G7</f>
        <v/>
      </c>
      <c r="I7" s="2" t="inlineStr">
        <is>
          <t>Net 30</t>
        </is>
      </c>
      <c r="J7" s="3" t="n">
        <v>46180</v>
      </c>
      <c r="K7" s="2" t="inlineStr">
        <is>
          <t>Approved</t>
        </is>
      </c>
      <c r="L7" s="2" t="n">
        <v>46138</v>
      </c>
      <c r="M7" s="4">
        <f>H7-L7</f>
        <v/>
      </c>
    </row>
    <row r="8">
      <c r="A8" s="2" t="inlineStr">
        <is>
          <t>INV-2026-0007</t>
        </is>
      </c>
      <c r="B8" s="3" t="n">
        <v>46159</v>
      </c>
      <c r="C8" s="2" t="inlineStr">
        <is>
          <t>TechSupply Sdn Bhd</t>
        </is>
      </c>
      <c r="D8" s="2" t="inlineStr">
        <is>
          <t>PO-2026-0016</t>
        </is>
      </c>
      <c r="E8" s="2" t="inlineStr">
        <is>
          <t>Monitor Dell 27"</t>
        </is>
      </c>
      <c r="F8" s="2" t="n">
        <v>10109</v>
      </c>
      <c r="G8" s="4">
        <f>F8*0.06</f>
        <v/>
      </c>
      <c r="H8" s="4">
        <f>F8+G8</f>
        <v/>
      </c>
      <c r="I8" s="2" t="inlineStr">
        <is>
          <t>Net 30</t>
        </is>
      </c>
      <c r="J8" s="3" t="n">
        <v>46189</v>
      </c>
      <c r="K8" s="2" t="inlineStr">
        <is>
          <t>Approved</t>
        </is>
      </c>
      <c r="L8" s="2" t="n">
        <v>11289</v>
      </c>
      <c r="M8" s="4">
        <f>H8-L8</f>
        <v/>
      </c>
    </row>
    <row r="9">
      <c r="A9" s="2" t="inlineStr">
        <is>
          <t>INV-2026-0008</t>
        </is>
      </c>
      <c r="B9" s="3" t="n">
        <v>46152</v>
      </c>
      <c r="C9" s="2" t="inlineStr">
        <is>
          <t>Office Pro Malaysia</t>
        </is>
      </c>
      <c r="D9" s="2" t="inlineStr">
        <is>
          <t>PO-2026-0012</t>
        </is>
      </c>
      <c r="E9" s="2" t="inlineStr">
        <is>
          <t>Software License MS365</t>
        </is>
      </c>
      <c r="F9" s="2" t="n">
        <v>13948</v>
      </c>
      <c r="G9" s="4">
        <f>F9*0.06</f>
        <v/>
      </c>
      <c r="H9" s="4">
        <f>F9+G9</f>
        <v/>
      </c>
      <c r="I9" s="2" t="inlineStr">
        <is>
          <t>Net 45</t>
        </is>
      </c>
      <c r="J9" s="3" t="n">
        <v>46197</v>
      </c>
      <c r="K9" s="2" t="inlineStr">
        <is>
          <t>Approved</t>
        </is>
      </c>
      <c r="L9" s="2" t="n">
        <v>15317</v>
      </c>
      <c r="M9" s="4">
        <f>H9-L9</f>
        <v/>
      </c>
    </row>
    <row r="10">
      <c r="A10" s="2" t="inlineStr">
        <is>
          <t>INV-2026-0009</t>
        </is>
      </c>
      <c r="B10" s="3" t="n">
        <v>46146</v>
      </c>
      <c r="C10" s="2" t="inlineStr">
        <is>
          <t>CleanTech Solutions</t>
        </is>
      </c>
      <c r="D10" s="2" t="inlineStr">
        <is>
          <t>PO-2026-0005</t>
        </is>
      </c>
      <c r="E10" s="2" t="inlineStr">
        <is>
          <t>Software License MS365</t>
        </is>
      </c>
      <c r="F10" s="2" t="n">
        <v>6378</v>
      </c>
      <c r="G10" s="4">
        <f>F10*0.06</f>
        <v/>
      </c>
      <c r="H10" s="4">
        <f>F10+G10</f>
        <v/>
      </c>
      <c r="I10" s="2" t="inlineStr">
        <is>
          <t>COD</t>
        </is>
      </c>
      <c r="J10" s="3" t="n">
        <v>46146</v>
      </c>
      <c r="K10" s="2" t="inlineStr">
        <is>
          <t>Paid</t>
        </is>
      </c>
      <c r="L10" s="2" t="n">
        <v>4815</v>
      </c>
      <c r="M10" s="4">
        <f>H10-L10</f>
        <v/>
      </c>
    </row>
    <row r="11">
      <c r="A11" s="2" t="inlineStr">
        <is>
          <t>INV-2026-0010</t>
        </is>
      </c>
      <c r="B11" s="3" t="n">
        <v>46158</v>
      </c>
      <c r="C11" s="2" t="inlineStr">
        <is>
          <t>Global Equipment Ltd</t>
        </is>
      </c>
      <c r="D11" s="2" t="inlineStr">
        <is>
          <t>PO-2026-0006</t>
        </is>
      </c>
      <c r="E11" s="2" t="inlineStr">
        <is>
          <t>Ethernet Cable Cat6A</t>
        </is>
      </c>
      <c r="F11" s="2" t="n">
        <v>7888</v>
      </c>
      <c r="G11" s="4">
        <f>F11*0.06</f>
        <v/>
      </c>
      <c r="H11" s="4">
        <f>F11+G11</f>
        <v/>
      </c>
      <c r="I11" s="2" t="inlineStr">
        <is>
          <t>COD</t>
        </is>
      </c>
      <c r="J11" s="3" t="n">
        <v>46158</v>
      </c>
      <c r="K11" s="2" t="inlineStr">
        <is>
          <t>Approved</t>
        </is>
      </c>
      <c r="L11" s="2" t="n">
        <v>9286</v>
      </c>
      <c r="M11" s="4">
        <f>H11-L11</f>
        <v/>
      </c>
    </row>
    <row r="12">
      <c r="A12" s="2" t="inlineStr">
        <is>
          <t>INV-2026-0011</t>
        </is>
      </c>
      <c r="B12" s="3" t="n">
        <v>46143</v>
      </c>
      <c r="C12" s="2" t="inlineStr">
        <is>
          <t>DataNet Services</t>
        </is>
      </c>
      <c r="D12" s="2" t="inlineStr">
        <is>
          <t>PO-2026-0001</t>
        </is>
      </c>
      <c r="E12" s="2" t="inlineStr">
        <is>
          <t>Ethernet Cable Cat6A</t>
        </is>
      </c>
      <c r="F12" s="2" t="n">
        <v>14175</v>
      </c>
      <c r="G12" s="4">
        <f>F12*0.06</f>
        <v/>
      </c>
      <c r="H12" s="4">
        <f>F12+G12</f>
        <v/>
      </c>
      <c r="I12" s="2" t="inlineStr">
        <is>
          <t>Net 60</t>
        </is>
      </c>
      <c r="J12" s="3" t="n">
        <v>46203</v>
      </c>
      <c r="K12" s="2" t="inlineStr">
        <is>
          <t>Pending</t>
        </is>
      </c>
      <c r="L12" s="2" t="n">
        <v>15520</v>
      </c>
      <c r="M12" s="4">
        <f>H12-L12</f>
        <v/>
      </c>
    </row>
    <row r="13">
      <c r="A13" s="2" t="inlineStr">
        <is>
          <t>INV-2026-0012</t>
        </is>
      </c>
      <c r="B13" s="3" t="n">
        <v>46156</v>
      </c>
      <c r="C13" s="2" t="inlineStr">
        <is>
          <t>PrintMaster Asia</t>
        </is>
      </c>
      <c r="D13" s="2" t="inlineStr">
        <is>
          <t>PO-2026-0009</t>
        </is>
      </c>
      <c r="E13" s="2" t="inlineStr">
        <is>
          <t>Printer HP LaserJet Pro</t>
        </is>
      </c>
      <c r="F13" s="2" t="n">
        <v>23484</v>
      </c>
      <c r="G13" s="4">
        <f>F13*0.06</f>
        <v/>
      </c>
      <c r="H13" s="4">
        <f>F13+G13</f>
        <v/>
      </c>
      <c r="I13" s="2" t="inlineStr">
        <is>
          <t>Net 45</t>
        </is>
      </c>
      <c r="J13" s="3" t="n">
        <v>46201</v>
      </c>
      <c r="K13" s="2" t="inlineStr">
        <is>
          <t>Pending</t>
        </is>
      </c>
      <c r="L13" s="2" t="n">
        <v>21649</v>
      </c>
      <c r="M13" s="4">
        <f>H13-L13</f>
        <v/>
      </c>
    </row>
    <row r="14">
      <c r="A14" s="2" t="inlineStr">
        <is>
          <t>INV-2026-0013</t>
        </is>
      </c>
      <c r="B14" s="3" t="n">
        <v>46147</v>
      </c>
      <c r="C14" s="2" t="inlineStr">
        <is>
          <t>Office Pro Malaysia</t>
        </is>
      </c>
      <c r="D14" s="2" t="inlineStr">
        <is>
          <t>PO-2026-0015</t>
        </is>
      </c>
      <c r="E14" s="2" t="inlineStr">
        <is>
          <t>Network Switch Cisco</t>
        </is>
      </c>
      <c r="F14" s="2" t="n">
        <v>17603</v>
      </c>
      <c r="G14" s="4">
        <f>F14*0.06</f>
        <v/>
      </c>
      <c r="H14" s="4">
        <f>F14+G14</f>
        <v/>
      </c>
      <c r="I14" s="2" t="inlineStr">
        <is>
          <t>Net 30</t>
        </is>
      </c>
      <c r="J14" s="3" t="n">
        <v>46177</v>
      </c>
      <c r="K14" s="2" t="inlineStr">
        <is>
          <t>Pending</t>
        </is>
      </c>
      <c r="L14" s="2" t="n">
        <v>17642</v>
      </c>
      <c r="M14" s="4">
        <f>H14-L14</f>
        <v/>
      </c>
    </row>
    <row r="15">
      <c r="A15" s="2" t="inlineStr">
        <is>
          <t>INV-2026-0014</t>
        </is>
      </c>
      <c r="B15" s="3" t="n">
        <v>46146</v>
      </c>
      <c r="C15" s="2" t="inlineStr">
        <is>
          <t>TechSupply Sdn Bhd</t>
        </is>
      </c>
      <c r="D15" s="2" t="inlineStr">
        <is>
          <t>PO-2026-0016</t>
        </is>
      </c>
      <c r="E15" s="2" t="inlineStr">
        <is>
          <t>Monitor Dell 27"</t>
        </is>
      </c>
      <c r="F15" s="2" t="n">
        <v>23093</v>
      </c>
      <c r="G15" s="4">
        <f>F15*0.06</f>
        <v/>
      </c>
      <c r="H15" s="4">
        <f>F15+G15</f>
        <v/>
      </c>
      <c r="I15" s="2" t="inlineStr">
        <is>
          <t>Net 30</t>
        </is>
      </c>
      <c r="J15" s="3" t="n">
        <v>46176</v>
      </c>
      <c r="K15" s="2" t="inlineStr">
        <is>
          <t>Approved</t>
        </is>
      </c>
      <c r="L15" s="2" t="n">
        <v>23536</v>
      </c>
      <c r="M15" s="4">
        <f>H15-L15</f>
        <v/>
      </c>
    </row>
    <row r="16">
      <c r="A16" s="2" t="inlineStr">
        <is>
          <t>INV-2026-0015</t>
        </is>
      </c>
      <c r="B16" s="3" t="n">
        <v>46151</v>
      </c>
      <c r="C16" s="2" t="inlineStr">
        <is>
          <t>TechSupply Sdn Bhd</t>
        </is>
      </c>
      <c r="D16" s="2" t="inlineStr">
        <is>
          <t>PO-2026-0009</t>
        </is>
      </c>
      <c r="E16" s="2" t="inlineStr">
        <is>
          <t>Ethernet Cable Cat6A</t>
        </is>
      </c>
      <c r="F16" s="2" t="n">
        <v>33970</v>
      </c>
      <c r="G16" s="4">
        <f>F16*0.06</f>
        <v/>
      </c>
      <c r="H16" s="4">
        <f>F16+G16</f>
        <v/>
      </c>
      <c r="I16" s="2" t="inlineStr">
        <is>
          <t>Net 45</t>
        </is>
      </c>
      <c r="J16" s="3" t="n">
        <v>46196</v>
      </c>
      <c r="K16" s="2" t="inlineStr">
        <is>
          <t>Approved</t>
        </is>
      </c>
      <c r="L16" s="2" t="n">
        <v>33114</v>
      </c>
      <c r="M16" s="4">
        <f>H16-L16</f>
        <v/>
      </c>
    </row>
  </sheetData>
  <conditionalFormatting sqref="M2:M16">
    <cfRule type="cellIs" priority="1" operator="greaterThan" dxfId="0">
      <formula>1000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2026-05-18T03:15:24Z</dcterms:created>
  <dcterms:modified xmlns:dcterms="http://purl.org/dc/terms/" xmlns:xsi="http://www.w3.org/2001/XMLSchema-instance" xsi:type="dcterms:W3CDTF">2026-05-18T03:15:24Z</dcterms:modified>
</cp:coreProperties>
</file>