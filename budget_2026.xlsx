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7C3A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6" customWidth="1" min="4" max="4"/>
    <col width="16" customWidth="1" min="5" max="5"/>
    <col width="14" customWidth="1" min="6" max="6"/>
    <col width="18" customWidth="1" min="7" max="7"/>
    <col width="14" customWidth="1" min="8" max="8"/>
  </cols>
  <sheetData>
    <row r="1">
      <c r="A1" s="1" t="inlineStr">
        <is>
          <t>Category</t>
        </is>
      </c>
      <c r="B1" s="1" t="inlineStr">
        <is>
          <t>Annual Budget (RM)</t>
        </is>
      </c>
      <c r="C1" s="1" t="inlineStr">
        <is>
          <t>Q1 Budget (RM)</t>
        </is>
      </c>
      <c r="D1" s="1" t="inlineStr">
        <is>
          <t>Q1 Actual (RM)</t>
        </is>
      </c>
      <c r="E1" s="1" t="inlineStr">
        <is>
          <t>Variance (RM)</t>
        </is>
      </c>
      <c r="F1" s="1" t="inlineStr">
        <is>
          <t>Variance (%)</t>
        </is>
      </c>
      <c r="G1" s="1" t="inlineStr">
        <is>
          <t>YTD Utilization (%)</t>
        </is>
      </c>
      <c r="H1" s="1" t="inlineStr">
        <is>
          <t>Status</t>
        </is>
      </c>
    </row>
    <row r="2">
      <c r="A2" s="2" t="inlineStr">
        <is>
          <t>IT Equipment &amp; Hardware</t>
        </is>
      </c>
      <c r="B2" s="3" t="n">
        <v>1200000</v>
      </c>
      <c r="C2" s="3" t="n">
        <v>300000</v>
      </c>
      <c r="D2" s="3" t="n">
        <v>364919</v>
      </c>
      <c r="E2" s="3">
        <f>C2-D2</f>
        <v/>
      </c>
      <c r="F2" s="4">
        <f>IF(C2=0,0,E2/C2)</f>
        <v/>
      </c>
      <c r="G2" s="4">
        <f>IF(B2=0,0,D2/B2)</f>
        <v/>
      </c>
      <c r="H2" s="2">
        <f>IF(F2&gt;0.1,"Over Budget","On Track")</f>
        <v/>
      </c>
    </row>
    <row r="3">
      <c r="A3" s="2" t="inlineStr">
        <is>
          <t>Software Licenses</t>
        </is>
      </c>
      <c r="B3" s="3" t="n">
        <v>480000</v>
      </c>
      <c r="C3" s="3" t="n">
        <v>120000</v>
      </c>
      <c r="D3" s="3" t="n">
        <v>110799</v>
      </c>
      <c r="E3" s="3">
        <f>C3-D3</f>
        <v/>
      </c>
      <c r="F3" s="4">
        <f>IF(C3=0,0,E3/C3)</f>
        <v/>
      </c>
      <c r="G3" s="4">
        <f>IF(B3=0,0,D3/B3)</f>
        <v/>
      </c>
      <c r="H3" s="2">
        <f>IF(F3&gt;0.1,"Over Budget","On Track")</f>
        <v/>
      </c>
    </row>
    <row r="4">
      <c r="A4" s="2" t="inlineStr">
        <is>
          <t>Office Supplies</t>
        </is>
      </c>
      <c r="B4" s="3" t="n">
        <v>96000</v>
      </c>
      <c r="C4" s="3" t="n">
        <v>24000</v>
      </c>
      <c r="D4" s="3" t="n">
        <v>19299</v>
      </c>
      <c r="E4" s="3">
        <f>C4-D4</f>
        <v/>
      </c>
      <c r="F4" s="4">
        <f>IF(C4=0,0,E4/C4)</f>
        <v/>
      </c>
      <c r="G4" s="4">
        <f>IF(B4=0,0,D4/B4)</f>
        <v/>
      </c>
      <c r="H4" s="2">
        <f>IF(F4&gt;0.1,"Over Budget","On Track")</f>
        <v/>
      </c>
    </row>
    <row r="5">
      <c r="A5" s="2" t="inlineStr">
        <is>
          <t>Industrial Components</t>
        </is>
      </c>
      <c r="B5" s="3" t="n">
        <v>2400000</v>
      </c>
      <c r="C5" s="3" t="n">
        <v>600000</v>
      </c>
      <c r="D5" s="3" t="n">
        <v>460126</v>
      </c>
      <c r="E5" s="3">
        <f>C5-D5</f>
        <v/>
      </c>
      <c r="F5" s="4">
        <f>IF(C5=0,0,E5/C5)</f>
        <v/>
      </c>
      <c r="G5" s="4">
        <f>IF(B5=0,0,D5/B5)</f>
        <v/>
      </c>
      <c r="H5" s="2">
        <f>IF(F5&gt;0.1,"Over Budget","On Track")</f>
        <v/>
      </c>
    </row>
    <row r="6">
      <c r="A6" s="2" t="inlineStr">
        <is>
          <t>Facility Management</t>
        </is>
      </c>
      <c r="B6" s="3" t="n">
        <v>360000</v>
      </c>
      <c r="C6" s="3" t="n">
        <v>90000</v>
      </c>
      <c r="D6" s="3" t="n">
        <v>93436</v>
      </c>
      <c r="E6" s="3">
        <f>C6-D6</f>
        <v/>
      </c>
      <c r="F6" s="4">
        <f>IF(C6=0,0,E6/C6)</f>
        <v/>
      </c>
      <c r="G6" s="4">
        <f>IF(B6=0,0,D6/B6)</f>
        <v/>
      </c>
      <c r="H6" s="2">
        <f>IF(F6&gt;0.1,"Over Budget","On Track")</f>
        <v/>
      </c>
    </row>
    <row r="7">
      <c r="A7" s="2" t="inlineStr">
        <is>
          <t>Professional Services</t>
        </is>
      </c>
      <c r="B7" s="3" t="n">
        <v>600000</v>
      </c>
      <c r="C7" s="3" t="n">
        <v>150000</v>
      </c>
      <c r="D7" s="3" t="n">
        <v>146469</v>
      </c>
      <c r="E7" s="3">
        <f>C7-D7</f>
        <v/>
      </c>
      <c r="F7" s="4">
        <f>IF(C7=0,0,E7/C7)</f>
        <v/>
      </c>
      <c r="G7" s="4">
        <f>IF(B7=0,0,D7/B7)</f>
        <v/>
      </c>
      <c r="H7" s="2">
        <f>IF(F7&gt;0.1,"Over Budget","On Track")</f>
        <v/>
      </c>
    </row>
    <row r="8">
      <c r="A8" s="2" t="inlineStr">
        <is>
          <t>Networking &amp; Telecom</t>
        </is>
      </c>
      <c r="B8" s="3" t="n">
        <v>240000</v>
      </c>
      <c r="C8" s="3" t="n">
        <v>60000</v>
      </c>
      <c r="D8" s="3" t="n">
        <v>46564</v>
      </c>
      <c r="E8" s="3">
        <f>C8-D8</f>
        <v/>
      </c>
      <c r="F8" s="4">
        <f>IF(C8=0,0,E8/C8)</f>
        <v/>
      </c>
      <c r="G8" s="4">
        <f>IF(B8=0,0,D8/B8)</f>
        <v/>
      </c>
      <c r="H8" s="2">
        <f>IF(F8&gt;0.1,"Over Budget","On Track")</f>
        <v/>
      </c>
    </row>
    <row r="9">
      <c r="A9" s="2" t="inlineStr">
        <is>
          <t>Training &amp; Development</t>
        </is>
      </c>
      <c r="B9" s="3" t="n">
        <v>120000</v>
      </c>
      <c r="C9" s="3" t="n">
        <v>30000</v>
      </c>
      <c r="D9" s="3" t="n">
        <v>25670</v>
      </c>
      <c r="E9" s="3">
        <f>C9-D9</f>
        <v/>
      </c>
      <c r="F9" s="4">
        <f>IF(C9=0,0,E9/C9)</f>
        <v/>
      </c>
      <c r="G9" s="4">
        <f>IF(B9=0,0,D9/B9)</f>
        <v/>
      </c>
      <c r="H9" s="2">
        <f>IF(F9&gt;0.1,"Over Budget","On Track")</f>
        <v/>
      </c>
    </row>
    <row r="10">
      <c r="A10" s="5" t="inlineStr">
        <is>
          <t>TOTAL</t>
        </is>
      </c>
      <c r="B10" s="6">
        <f>SUM(B2:B9)</f>
        <v/>
      </c>
      <c r="C10" s="6">
        <f>SUM(C2:C9)</f>
        <v/>
      </c>
      <c r="D10" s="6">
        <f>SUM(D2:D9)</f>
        <v/>
      </c>
      <c r="E10" s="6">
        <f>SUM(E2:E9)</f>
        <v/>
      </c>
    </row>
  </sheetData>
  <conditionalFormatting sqref="H2:H9">
    <cfRule type="cellIs" priority="1" operator="equal" dxfId="0">
      <formula>"Over Budget"</formula>
    </cfRule>
    <cfRule type="cellIs" priority="2" operator="equal" dxfId="1">
      <formula>"On Track"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2026-05-18T03:15:24Z</dcterms:created>
  <dcterms:modified xmlns:dcterms="http://purl.org/dc/terms/" xmlns:xsi="http://www.w3.org/2001/XMLSchema-instance" xsi:type="dcterms:W3CDTF">2026-05-18T03:15:24Z</dcterms:modified>
</cp:coreProperties>
</file>