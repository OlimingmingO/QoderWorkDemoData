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0.0"/>
    <numFmt numFmtId="166" formatCode="YYYY-MM-DD"/>
    <numFmt numFmtId="167" formatCode="0.0&quot;%&quot;"/>
    <numFmt numFmtId="168" formatCode="0.00&quot;%&quot;"/>
    <numFmt numFmtId="169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59669"/>
      <sz val="16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8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4" customWidth="1" min="9" max="9"/>
    <col width="18" customWidth="1" min="10" max="10"/>
    <col width="18" customWidth="1" min="11" max="11"/>
    <col width="14" customWidth="1" min="12" max="12"/>
    <col width="10" customWidth="1" min="13" max="13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Contract Start</t>
        </is>
      </c>
      <c r="E1" s="1" t="inlineStr">
        <is>
          <t>Contract End</t>
        </is>
      </c>
      <c r="F1" s="1" t="inlineStr">
        <is>
          <t>Total POs (Q1)</t>
        </is>
      </c>
      <c r="G1" s="1" t="inlineStr">
        <is>
          <t>Total Value (RM)</t>
        </is>
      </c>
      <c r="H1" s="1" t="inlineStr">
        <is>
          <t>On-Time Delivery (%)</t>
        </is>
      </c>
      <c r="I1" s="1" t="inlineStr">
        <is>
          <t>Defect Rate (%)</t>
        </is>
      </c>
      <c r="J1" s="1" t="inlineStr">
        <is>
          <t>Invoice Accuracy (%)</t>
        </is>
      </c>
      <c r="K1" s="1" t="inlineStr">
        <is>
          <t>Responsiveness (1-10)</t>
        </is>
      </c>
      <c r="L1" s="1" t="inlineStr">
        <is>
          <t>Overall Rating</t>
        </is>
      </c>
      <c r="M1" s="1" t="inlineStr">
        <is>
          <t>Status</t>
        </is>
      </c>
    </row>
    <row r="2">
      <c r="A2" s="2" t="inlineStr">
        <is>
          <t>V001</t>
        </is>
      </c>
      <c r="B2" s="2" t="inlineStr">
        <is>
          <t>TechSupply Sdn Bhd</t>
        </is>
      </c>
      <c r="C2" s="2" t="inlineStr">
        <is>
          <t>IT Equipment</t>
        </is>
      </c>
      <c r="D2" s="3" t="n">
        <v>45658</v>
      </c>
      <c r="E2" s="3" t="n">
        <v>46752</v>
      </c>
      <c r="F2" s="2" t="n">
        <v>45</v>
      </c>
      <c r="G2" s="4" t="n">
        <v>450000</v>
      </c>
      <c r="H2" s="5" t="n">
        <v>76.3</v>
      </c>
      <c r="I2" s="6" t="n">
        <v>0.89</v>
      </c>
      <c r="J2" s="5" t="n">
        <v>90.7</v>
      </c>
      <c r="K2" s="2" t="n">
        <v>5</v>
      </c>
      <c r="L2" s="7">
        <f>(H2*0.3+(100-I2)*0.25+J2*0.2+(K2*10)*0.25)/10</f>
        <v/>
      </c>
      <c r="M2" s="2">
        <f>IF(E2&lt;TODAY(),"Expired","Active")</f>
        <v/>
      </c>
    </row>
    <row r="3">
      <c r="A3" s="2" t="inlineStr">
        <is>
          <t>V002</t>
        </is>
      </c>
      <c r="B3" s="2" t="inlineStr">
        <is>
          <t>Office Pro Malaysia</t>
        </is>
      </c>
      <c r="C3" s="2" t="inlineStr">
        <is>
          <t>Office Supplies</t>
        </is>
      </c>
      <c r="D3" s="3" t="n">
        <v>45444</v>
      </c>
      <c r="E3" s="3" t="n">
        <v>46173</v>
      </c>
      <c r="F3" s="2" t="n">
        <v>78</v>
      </c>
      <c r="G3" s="4" t="n">
        <v>125000</v>
      </c>
      <c r="H3" s="5" t="n">
        <v>95.09999999999999</v>
      </c>
      <c r="I3" s="6" t="n">
        <v>4.44</v>
      </c>
      <c r="J3" s="5" t="n">
        <v>90.3</v>
      </c>
      <c r="K3" s="2" t="n">
        <v>9</v>
      </c>
      <c r="L3" s="7">
        <f>(H3*0.3+(100-I3)*0.25+J3*0.2+(K3*10)*0.25)/10</f>
        <v/>
      </c>
      <c r="M3" s="2">
        <f>IF(E3&lt;TODAY(),"Expired","Active")</f>
        <v/>
      </c>
    </row>
    <row r="4">
      <c r="A4" s="2" t="inlineStr">
        <is>
          <t>V003</t>
        </is>
      </c>
      <c r="B4" s="2" t="inlineStr">
        <is>
          <t>Industrial Parts Co</t>
        </is>
      </c>
      <c r="C4" s="2" t="inlineStr">
        <is>
          <t>Industrial Components</t>
        </is>
      </c>
      <c r="D4" s="3" t="n">
        <v>45731</v>
      </c>
      <c r="E4" s="3" t="n">
        <v>46826</v>
      </c>
      <c r="F4" s="2" t="n">
        <v>32</v>
      </c>
      <c r="G4" s="4" t="n">
        <v>680000</v>
      </c>
      <c r="H4" s="5" t="n">
        <v>83</v>
      </c>
      <c r="I4" s="6" t="n">
        <v>4.33</v>
      </c>
      <c r="J4" s="5" t="n">
        <v>87.2</v>
      </c>
      <c r="K4" s="2" t="n">
        <v>7</v>
      </c>
      <c r="L4" s="7">
        <f>(H4*0.3+(100-I4)*0.25+J4*0.2+(K4*10)*0.25)/10</f>
        <v/>
      </c>
      <c r="M4" s="2">
        <f>IF(E4&lt;TODAY(),"Expired","Active")</f>
        <v/>
      </c>
    </row>
    <row r="5">
      <c r="A5" s="2" t="inlineStr">
        <is>
          <t>V004</t>
        </is>
      </c>
      <c r="B5" s="2" t="inlineStr">
        <is>
          <t>Global Equipment Ltd</t>
        </is>
      </c>
      <c r="C5" s="2" t="inlineStr">
        <is>
          <t>Heavy Equipment</t>
        </is>
      </c>
      <c r="D5" s="3" t="n">
        <v>45292</v>
      </c>
      <c r="E5" s="3" t="n">
        <v>46387</v>
      </c>
      <c r="F5" s="2" t="n">
        <v>18</v>
      </c>
      <c r="G5" s="4" t="n">
        <v>920000</v>
      </c>
      <c r="H5" s="5" t="n">
        <v>88.5</v>
      </c>
      <c r="I5" s="6" t="n">
        <v>3.66</v>
      </c>
      <c r="J5" s="5" t="n">
        <v>87.3</v>
      </c>
      <c r="K5" s="2" t="n">
        <v>8</v>
      </c>
      <c r="L5" s="7">
        <f>(H5*0.3+(100-I5)*0.25+J5*0.2+(K5*10)*0.25)/10</f>
        <v/>
      </c>
      <c r="M5" s="2">
        <f>IF(E5&lt;TODAY(),"Expired","Active")</f>
        <v/>
      </c>
    </row>
    <row r="6">
      <c r="A6" s="2" t="inlineStr">
        <is>
          <t>V005</t>
        </is>
      </c>
      <c r="B6" s="2" t="inlineStr">
        <is>
          <t>Local Hardware Store</t>
        </is>
      </c>
      <c r="C6" s="2" t="inlineStr">
        <is>
          <t>Hardware &amp; Tools</t>
        </is>
      </c>
      <c r="D6" s="3" t="n">
        <v>45839</v>
      </c>
      <c r="E6" s="3" t="n">
        <v>46568</v>
      </c>
      <c r="F6" s="2" t="n">
        <v>56</v>
      </c>
      <c r="G6" s="4" t="n">
        <v>78000</v>
      </c>
      <c r="H6" s="5" t="n">
        <v>93.59999999999999</v>
      </c>
      <c r="I6" s="6" t="n">
        <v>4.45</v>
      </c>
      <c r="J6" s="5" t="n">
        <v>90.3</v>
      </c>
      <c r="K6" s="2" t="n">
        <v>5</v>
      </c>
      <c r="L6" s="7">
        <f>(H6*0.3+(100-I6)*0.25+J6*0.2+(K6*10)*0.25)/10</f>
        <v/>
      </c>
      <c r="M6" s="2">
        <f>IF(E6&lt;TODAY(),"Expired","Active")</f>
        <v/>
      </c>
    </row>
    <row r="7">
      <c r="A7" s="2" t="inlineStr">
        <is>
          <t>V006</t>
        </is>
      </c>
      <c r="B7" s="2" t="inlineStr">
        <is>
          <t>CleanTech Solutions</t>
        </is>
      </c>
      <c r="C7" s="2" t="inlineStr">
        <is>
          <t>Facility Management</t>
        </is>
      </c>
      <c r="D7" s="3" t="n">
        <v>45689</v>
      </c>
      <c r="E7" s="3" t="n">
        <v>46418</v>
      </c>
      <c r="F7" s="2" t="n">
        <v>24</v>
      </c>
      <c r="G7" s="4" t="n">
        <v>156000</v>
      </c>
      <c r="H7" s="5" t="n">
        <v>82.59999999999999</v>
      </c>
      <c r="I7" s="6" t="n">
        <v>2.52</v>
      </c>
      <c r="J7" s="5" t="n">
        <v>97.7</v>
      </c>
      <c r="K7" s="2" t="n">
        <v>5</v>
      </c>
      <c r="L7" s="7">
        <f>(H7*0.3+(100-I7)*0.25+J7*0.2+(K7*10)*0.25)/10</f>
        <v/>
      </c>
      <c r="M7" s="2">
        <f>IF(E7&lt;TODAY(),"Expired","Active")</f>
        <v/>
      </c>
    </row>
    <row r="8">
      <c r="A8" s="2" t="inlineStr">
        <is>
          <t>V007</t>
        </is>
      </c>
      <c r="B8" s="2" t="inlineStr">
        <is>
          <t>DataNet Services</t>
        </is>
      </c>
      <c r="C8" s="2" t="inlineStr">
        <is>
          <t>Networking</t>
        </is>
      </c>
      <c r="D8" s="3" t="n">
        <v>45536</v>
      </c>
      <c r="E8" s="3" t="n">
        <v>46265</v>
      </c>
      <c r="F8" s="2" t="n">
        <v>29</v>
      </c>
      <c r="G8" s="4" t="n">
        <v>340000</v>
      </c>
      <c r="H8" s="5" t="n">
        <v>91</v>
      </c>
      <c r="I8" s="6" t="n">
        <v>1.07</v>
      </c>
      <c r="J8" s="5" t="n">
        <v>97.7</v>
      </c>
      <c r="K8" s="2" t="n">
        <v>7</v>
      </c>
      <c r="L8" s="7">
        <f>(H8*0.3+(100-I8)*0.25+J8*0.2+(K8*10)*0.25)/10</f>
        <v/>
      </c>
      <c r="M8" s="2">
        <f>IF(E8&lt;TODAY(),"Expired","Active")</f>
        <v/>
      </c>
    </row>
    <row r="9">
      <c r="A9" s="2" t="inlineStr">
        <is>
          <t>V008</t>
        </is>
      </c>
      <c r="B9" s="2" t="inlineStr">
        <is>
          <t>PrintMaster Asia</t>
        </is>
      </c>
      <c r="C9" s="2" t="inlineStr">
        <is>
          <t>Printing Supplies</t>
        </is>
      </c>
      <c r="D9" s="3" t="n">
        <v>45748</v>
      </c>
      <c r="E9" s="3" t="n">
        <v>46477</v>
      </c>
      <c r="F9" s="2" t="n">
        <v>67</v>
      </c>
      <c r="G9" s="4" t="n">
        <v>92000</v>
      </c>
      <c r="H9" s="5" t="n">
        <v>96.90000000000001</v>
      </c>
      <c r="I9" s="6" t="n">
        <v>3.08</v>
      </c>
      <c r="J9" s="5" t="n">
        <v>88.7</v>
      </c>
      <c r="K9" s="2" t="n">
        <v>5</v>
      </c>
      <c r="L9" s="7">
        <f>(H9*0.3+(100-I9)*0.25+J9*0.2+(K9*10)*0.25)/10</f>
        <v/>
      </c>
      <c r="M9" s="2">
        <f>IF(E9&lt;TODAY(),"Expired","Active")</f>
        <v/>
      </c>
    </row>
  </sheetData>
  <conditionalFormatting sqref="H2:H9">
    <cfRule type="cellIs" priority="1" operator="lessThan" dxfId="0">
      <formula>85</formula>
    </cfRule>
    <cfRule type="cellIs" priority="2" operator="between" dxfId="1">
      <formula>85</formula>
      <formula>95</formula>
    </cfRule>
    <cfRule type="cellIs" priority="3" operator="greaterThan" dxfId="2">
      <formula>95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Vendor Performance Dashboard - Q1 2026</t>
        </is>
      </c>
    </row>
    <row r="3">
      <c r="A3" s="9" t="inlineStr">
        <is>
          <t>Key Metrics</t>
        </is>
      </c>
    </row>
    <row r="4">
      <c r="A4" s="10" t="inlineStr">
        <is>
          <t>Total Active Vendors</t>
        </is>
      </c>
      <c r="C4" s="11">
        <f>COUNTIF(M2:M9,"Active")</f>
        <v/>
      </c>
    </row>
    <row r="5">
      <c r="A5" s="10" t="inlineStr">
        <is>
          <t>Expired Contracts</t>
        </is>
      </c>
      <c r="C5" s="11">
        <f>COUNTIF(M2:M9,"Expired")</f>
        <v/>
      </c>
    </row>
    <row r="6">
      <c r="A6" s="10" t="inlineStr">
        <is>
          <t>Average On-Time Delivery</t>
        </is>
      </c>
      <c r="C6" s="11">
        <f>AVERAGE(H2:H9)</f>
        <v/>
      </c>
    </row>
    <row r="7">
      <c r="A7" s="10" t="inlineStr">
        <is>
          <t>Average Defect Rate</t>
        </is>
      </c>
      <c r="C7" s="11">
        <f>AVERAGE(I2:I9)</f>
        <v/>
      </c>
    </row>
    <row r="8">
      <c r="A8" s="10" t="inlineStr">
        <is>
          <t>Average Invoice Accuracy</t>
        </is>
      </c>
      <c r="C8" s="11">
        <f>AVERAGE(J2:J9)</f>
        <v/>
      </c>
    </row>
    <row r="9">
      <c r="A9" s="10" t="inlineStr">
        <is>
          <t>Total POs (Q1)</t>
        </is>
      </c>
      <c r="C9" s="11">
        <f>SUM(F2:F9)</f>
        <v/>
      </c>
    </row>
    <row r="10">
      <c r="A10" s="10" t="inlineStr">
        <is>
          <t>Total Spend (RM)</t>
        </is>
      </c>
      <c r="C10" s="11">
        <f>SUM(G2:G9)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2026-05-18T03:15:24Z</dcterms:created>
  <dcterms:modified xmlns:dcterms="http://purl.org/dc/terms/" xmlns:xsi="http://www.w3.org/2001/XMLSchema-instance" xsi:type="dcterms:W3CDTF">2026-05-18T03:15:24Z</dcterms:modified>
</cp:coreProperties>
</file>